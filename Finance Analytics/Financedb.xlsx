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0e4f320c204315/Documents/Finance Analytics/"/>
    </mc:Choice>
  </mc:AlternateContent>
  <xr:revisionPtr revIDLastSave="0" documentId="8_{9787FF50-CAB2-459D-AB07-46C1D74E51FE}" xr6:coauthVersionLast="47" xr6:coauthVersionMax="47" xr10:uidLastSave="{00000000-0000-0000-0000-000000000000}"/>
  <bookViews>
    <workbookView xWindow="-108" yWindow="-108" windowWidth="23256" windowHeight="12456" activeTab="1" xr2:uid="{2AE37FBD-8E09-4FFE-B1AC-030486B17617}"/>
  </bookViews>
  <sheets>
    <sheet name="NAVEEN_SQLEXPRESS" sheetId="3" r:id="rId1"/>
    <sheet name="NAVEEN_SQLEXPRESS_ Financedb" sheetId="2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03F04-9987-4535-9C10-496B05119E98}" keepAlive="1" name="Query - NAVEEN\SQLEXPRESS" description="Connection to the 'NAVEEN\SQLEXPRESS' query in the workbook." type="5" refreshedVersion="8" background="1" saveData="1">
    <dbPr connection="Provider=Microsoft.Mashup.OleDb.1;Data Source=$Workbook$;Location=NAVEEN\SQLEXPRESS;Extended Properties=&quot;&quot;" command="SELECT * FROM [NAVEEN\SQLEXPRESS]"/>
  </connection>
  <connection id="2" xr16:uid="{B444F432-0506-45B4-8A51-4AA5E336A0D5}" keepAlive="1" name="Query - NAVEEN\SQLEXPRESS: Financedb" description="Connection to the 'NAVEEN\SQLEXPRESS: Financedb' query in the workbook." type="5" refreshedVersion="8" background="1" saveData="1">
    <dbPr connection="Provider=Microsoft.Mashup.OleDb.1;Data Source=$Workbook$;Location=&quot;NAVEEN\SQLEXPRESS: Financedb&quot;;Extended Properties=&quot;&quot;" command="SELECT * FROM [NAVEEN\SQLEXPRESS: Financedb]"/>
  </connection>
</connections>
</file>

<file path=xl/sharedStrings.xml><?xml version="1.0" encoding="utf-8"?>
<sst xmlns="http://schemas.openxmlformats.org/spreadsheetml/2006/main" count="53" uniqueCount="35">
  <si>
    <t>Product Sales</t>
  </si>
  <si>
    <t>Revenue</t>
  </si>
  <si>
    <t>Direct Sales</t>
  </si>
  <si>
    <t>SaaS Subscriptions</t>
  </si>
  <si>
    <t>Recurring Revenue</t>
  </si>
  <si>
    <t>Consulting Services</t>
  </si>
  <si>
    <t>Professional Services</t>
  </si>
  <si>
    <t>Cloud Infrastructure (AWS/Azure)</t>
  </si>
  <si>
    <t>COGS</t>
  </si>
  <si>
    <t>Hosting &amp; Compute</t>
  </si>
  <si>
    <t>Third-Party Software Licenses</t>
  </si>
  <si>
    <t>Software Cost</t>
  </si>
  <si>
    <t>Digital Marketing &amp; Ads</t>
  </si>
  <si>
    <t>OpEx</t>
  </si>
  <si>
    <t>Marketing</t>
  </si>
  <si>
    <t>Office Rent &amp; Utilities</t>
  </si>
  <si>
    <t>Facilities</t>
  </si>
  <si>
    <t>Employee Salaries &amp; Perks</t>
  </si>
  <si>
    <t>Human Resources</t>
  </si>
  <si>
    <t>Travel &amp; Entertainment</t>
  </si>
  <si>
    <t>Operations</t>
  </si>
  <si>
    <t>GLCode</t>
  </si>
  <si>
    <t>AccountNamme</t>
  </si>
  <si>
    <t>Category</t>
  </si>
  <si>
    <t>Subcategory</t>
  </si>
  <si>
    <t>TotalActual</t>
  </si>
  <si>
    <t>TotalBudget</t>
  </si>
  <si>
    <t>Variance</t>
  </si>
  <si>
    <t>Variancepct</t>
  </si>
  <si>
    <t>Row Labels</t>
  </si>
  <si>
    <t>Grand Total</t>
  </si>
  <si>
    <t>Sum of TotalActual</t>
  </si>
  <si>
    <t>Sum of TotalBudget</t>
  </si>
  <si>
    <t>Sum of Variance</t>
  </si>
  <si>
    <t>Sum of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</si>
</sst>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</a:t>
            </a:r>
            <a:r>
              <a:rPr lang="en-IN" i="0"/>
              <a:t>"2025 Financial Performance: Actual vs. Budget"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5952085082310474"/>
          <c:y val="2.4776007980345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D-4C69-8CE9-DE48C6782569}"/>
              </c:ext>
            </c:extLst>
          </c:dPt>
          <c:cat>
            <c:strLit>
              <c:ptCount val="9"/>
              <c:pt idx="0">
                <c:v>COGS Cloud Infrastructure (AWS/Azure)</c:v>
              </c:pt>
              <c:pt idx="1">
                <c:v>COGS Third-Party Software Licenses</c:v>
              </c:pt>
              <c:pt idx="2">
                <c:v>OpEx Digital Marketing &amp; Ads</c:v>
              </c:pt>
              <c:pt idx="3">
                <c:v>OpEx Employee Salaries &amp; Perks</c:v>
              </c:pt>
              <c:pt idx="4">
                <c:v>OpEx Office Rent &amp; Utilities</c:v>
              </c:pt>
              <c:pt idx="5">
                <c:v>OpEx Travel &amp; Entertainment</c:v>
              </c:pt>
              <c:pt idx="6">
                <c:v>Revenue Consulting Services</c:v>
              </c:pt>
              <c:pt idx="7">
                <c:v>Revenue Product Sales</c:v>
              </c:pt>
              <c:pt idx="8">
                <c:v>Revenue SaaS Subscriptions</c:v>
              </c:pt>
            </c:strLit>
          </c:cat>
          <c:val>
            <c:numLit>
              <c:formatCode>General</c:formatCode>
              <c:ptCount val="9"/>
              <c:pt idx="0">
                <c:v>127558</c:v>
              </c:pt>
              <c:pt idx="1">
                <c:v>112311</c:v>
              </c:pt>
              <c:pt idx="2">
                <c:v>129912</c:v>
              </c:pt>
              <c:pt idx="3">
                <c:v>510557</c:v>
              </c:pt>
              <c:pt idx="4">
                <c:v>99984</c:v>
              </c:pt>
              <c:pt idx="5">
                <c:v>508871</c:v>
              </c:pt>
              <c:pt idx="6">
                <c:v>122279</c:v>
              </c:pt>
              <c:pt idx="7">
                <c:v>674650</c:v>
              </c:pt>
              <c:pt idx="8">
                <c:v>548613</c:v>
              </c:pt>
            </c:numLit>
          </c:val>
          <c:extLst>
            <c:ext xmlns:c16="http://schemas.microsoft.com/office/drawing/2014/chart" uri="{C3380CC4-5D6E-409C-BE32-E72D297353CC}">
              <c16:uniqueId val="{00000000-642D-4C69-8CE9-DE48C6782569}"/>
            </c:ext>
          </c:extLst>
        </c:ser>
        <c:ser>
          <c:idx val="1"/>
          <c:order val="1"/>
          <c:tx>
            <c:v>Sum of TotalBudget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COGS Cloud Infrastructure (AWS/Azure)</c:v>
              </c:pt>
              <c:pt idx="1">
                <c:v>COGS Third-Party Software Licenses</c:v>
              </c:pt>
              <c:pt idx="2">
                <c:v>OpEx Digital Marketing &amp; Ads</c:v>
              </c:pt>
              <c:pt idx="3">
                <c:v>OpEx Employee Salaries &amp; Perks</c:v>
              </c:pt>
              <c:pt idx="4">
                <c:v>OpEx Office Rent &amp; Utilities</c:v>
              </c:pt>
              <c:pt idx="5">
                <c:v>OpEx Travel &amp; Entertainment</c:v>
              </c:pt>
              <c:pt idx="6">
                <c:v>Revenue Consulting Services</c:v>
              </c:pt>
              <c:pt idx="7">
                <c:v>Revenue Product Sales</c:v>
              </c:pt>
              <c:pt idx="8">
                <c:v>Revenue SaaS Subscriptions</c:v>
              </c:pt>
            </c:strLit>
          </c:cat>
          <c:val>
            <c:numLit>
              <c:formatCode>General</c:formatCode>
              <c:ptCount val="9"/>
              <c:pt idx="0">
                <c:v>480000</c:v>
              </c:pt>
              <c:pt idx="1">
                <c:v>180000</c:v>
              </c:pt>
              <c:pt idx="2">
                <c:v>360000</c:v>
              </c:pt>
              <c:pt idx="3">
                <c:v>1320000</c:v>
              </c:pt>
              <c:pt idx="4">
                <c:v>300000</c:v>
              </c:pt>
              <c:pt idx="5">
                <c:v>96000</c:v>
              </c:pt>
              <c:pt idx="6">
                <c:v>600000</c:v>
              </c:pt>
              <c:pt idx="7">
                <c:v>2400000</c:v>
              </c:pt>
              <c:pt idx="8">
                <c:v>1440000</c:v>
              </c:pt>
            </c:numLit>
          </c:val>
          <c:extLst>
            <c:ext xmlns:c16="http://schemas.microsoft.com/office/drawing/2014/chart" uri="{C3380CC4-5D6E-409C-BE32-E72D297353CC}">
              <c16:uniqueId val="{00000001-642D-4C69-8CE9-DE48C6782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395631"/>
        <c:axId val="913111696"/>
      </c:barChart>
      <c:catAx>
        <c:axId val="61439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11696"/>
        <c:crosses val="autoZero"/>
        <c:auto val="1"/>
        <c:lblAlgn val="ctr"/>
        <c:lblOffset val="100"/>
        <c:noMultiLvlLbl val="0"/>
      </c:catAx>
      <c:valAx>
        <c:axId val="9131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9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02432982394058"/>
          <c:y val="0.67587122227628238"/>
          <c:w val="0.158170766511746"/>
          <c:h val="0.13542171187010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79744</xdr:colOff>
      <xdr:row>15</xdr:row>
      <xdr:rowOff>6910</xdr:rowOff>
    </xdr:from>
    <xdr:to>
      <xdr:col>5</xdr:col>
      <xdr:colOff>3722</xdr:colOff>
      <xdr:row>32</xdr:row>
      <xdr:rowOff>8859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236E19-48FA-EA08-384C-D1D23D098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0.80899</cdr:x>
      <cdr:y>0.04035</cdr:y>
    </cdr:from>
    <cdr:to>
      <cdr:x>0.99213</cdr:x>
      <cdr:y>0.62547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6896BEDC-DEC4-2B4E-308F-B2A264BFD17F}"/>
            </a:ext>
          </a:extLst>
        </cdr:cNvPr>
        <cdr:cNvSpPr/>
      </cdr:nvSpPr>
      <cdr:spPr>
        <a:xfrm xmlns:a="http://schemas.openxmlformats.org/drawingml/2006/main">
          <a:off x="5486400" y="121920"/>
          <a:ext cx="1242060" cy="176784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 b="1"/>
            <a:t>Key Insight:</a:t>
          </a:r>
          <a:r>
            <a:rPr lang="en-IN"/>
            <a:t> </a:t>
          </a:r>
          <a:r>
            <a:rPr lang="en-IN" i="1"/>
            <a:t>OpEx Travel &amp; Entertainment experienced a +430% budget overrun due to unexpected operational travel spend.</a:t>
          </a:r>
          <a:endParaRPr lang="en-IN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" refreshedDate="46296.537995486113" createdVersion="8" refreshedVersion="8" minRefreshableVersion="3" recordCount="9" xr:uid="{4508D929-2D49-4EC4-87A9-16BE5CE7F4C9}">
  <cacheSource type="worksheet">
    <worksheetSource ref="A1:H10" sheet="NAVEEN_SQLEXPRESS"/>
  </cacheSource>
  <cacheFields count="9">
    <cacheField name="GLCode" numFmtId="0">
      <sharedItems containsSemiMixedTypes="0" containsString="0" containsNumber="1" containsInteger="1" minValue="4001" maxValue="6004"/>
    </cacheField>
    <cacheField name="AccountNamme" numFmtId="0">
      <sharedItems count="9">
        <s v="Product Sales"/>
        <s v="SaaS Subscriptions"/>
        <s v="Consulting Services"/>
        <s v="Cloud Infrastructure (AWS/Azure)"/>
        <s v="Third-Party Software Licenses"/>
        <s v="Digital Marketing &amp; Ads"/>
        <s v="Office Rent &amp; Utilities"/>
        <s v="Employee Salaries &amp; Perks"/>
        <s v="Travel &amp; Entertainment"/>
      </sharedItems>
    </cacheField>
    <cacheField name="Category" numFmtId="0">
      <sharedItems count="3">
        <s v="Revenue"/>
        <s v="COGS"/>
        <s v="OpEx"/>
      </sharedItems>
    </cacheField>
    <cacheField name="Subcategory" numFmtId="0">
      <sharedItems/>
    </cacheField>
    <cacheField name="TotalActual" numFmtId="0">
      <sharedItems containsSemiMixedTypes="0" containsString="0" containsNumber="1" containsInteger="1" minValue="99984" maxValue="674650"/>
    </cacheField>
    <cacheField name="TotalBudget" numFmtId="0">
      <sharedItems containsSemiMixedTypes="0" containsString="0" containsNumber="1" containsInteger="1" minValue="96000" maxValue="2400000"/>
    </cacheField>
    <cacheField name="Variance" numFmtId="0">
      <sharedItems containsSemiMixedTypes="0" containsString="0" containsNumber="1" containsInteger="1" minValue="-1725350" maxValue="412871"/>
    </cacheField>
    <cacheField name="Variancepct" numFmtId="0">
      <sharedItems containsSemiMixedTypes="0" containsString="0" containsNumber="1" minValue="-79.62" maxValue="430.07"/>
    </cacheField>
    <cacheField name="Variance %" numFmtId="0" formula="Variance/TotalBudge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4001"/>
    <x v="0"/>
    <x v="0"/>
    <s v="Direct Sales"/>
    <n v="674650"/>
    <n v="2400000"/>
    <n v="-1725350"/>
    <n v="-71.89"/>
  </r>
  <r>
    <n v="4002"/>
    <x v="1"/>
    <x v="0"/>
    <s v="Recurring Revenue"/>
    <n v="548613"/>
    <n v="1440000"/>
    <n v="-891387"/>
    <n v="-61.9"/>
  </r>
  <r>
    <n v="4003"/>
    <x v="2"/>
    <x v="0"/>
    <s v="Professional Services"/>
    <n v="122279"/>
    <n v="600000"/>
    <n v="-477721"/>
    <n v="-79.62"/>
  </r>
  <r>
    <n v="5001"/>
    <x v="3"/>
    <x v="1"/>
    <s v="Hosting &amp; Compute"/>
    <n v="127558"/>
    <n v="480000"/>
    <n v="-352442"/>
    <n v="-73.430000000000007"/>
  </r>
  <r>
    <n v="5002"/>
    <x v="4"/>
    <x v="1"/>
    <s v="Software Cost"/>
    <n v="112311"/>
    <n v="180000"/>
    <n v="-67689"/>
    <n v="-37.61"/>
  </r>
  <r>
    <n v="6001"/>
    <x v="5"/>
    <x v="2"/>
    <s v="Marketing"/>
    <n v="129912"/>
    <n v="360000"/>
    <n v="-230088"/>
    <n v="-63.91"/>
  </r>
  <r>
    <n v="6002"/>
    <x v="6"/>
    <x v="2"/>
    <s v="Facilities"/>
    <n v="99984"/>
    <n v="300000"/>
    <n v="-200016"/>
    <n v="-66.67"/>
  </r>
  <r>
    <n v="6003"/>
    <x v="7"/>
    <x v="2"/>
    <s v="Human Resources"/>
    <n v="510557"/>
    <n v="1320000"/>
    <n v="-809443"/>
    <n v="-61.32"/>
  </r>
  <r>
    <n v="6004"/>
    <x v="8"/>
    <x v="2"/>
    <s v="Operations"/>
    <n v="508871"/>
    <n v="96000"/>
    <n v="412871"/>
    <n v="430.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000C-BCC1-4703-AD3A-98D6720FD1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E14" firstHeaderRow="0" firstDataRow="1" firstDataCol="1"/>
  <pivotFields count="9">
    <pivotField showAll="0"/>
    <pivotField axis="axisRow" showAll="0">
      <items count="10">
        <item x="3"/>
        <item x="2"/>
        <item x="5"/>
        <item x="7"/>
        <item x="6"/>
        <item x="0"/>
        <item x="1"/>
        <item x="4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dragToRow="0" dragToCol="0" dragToPage="0" showAll="0" defaultSubtotal="0"/>
  </pivotFields>
  <rowFields count="2">
    <field x="2"/>
    <field x="1"/>
  </rowFields>
  <rowItems count="13">
    <i>
      <x/>
    </i>
    <i r="1">
      <x/>
    </i>
    <i r="1">
      <x v="7"/>
    </i>
    <i>
      <x v="1"/>
    </i>
    <i r="1">
      <x v="2"/>
    </i>
    <i r="1">
      <x v="3"/>
    </i>
    <i r="1">
      <x v="4"/>
    </i>
    <i r="1">
      <x v="8"/>
    </i>
    <i>
      <x v="2"/>
    </i>
    <i r="1">
      <x v="1"/>
    </i>
    <i r="1">
      <x v="5"/>
    </i>
    <i r="1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Actual" fld="4" baseField="0" baseItem="0"/>
    <dataField name="Sum of TotalBudget" fld="5" baseField="0" baseItem="0"/>
    <dataField name="Sum of Variance" fld="6" baseField="0" baseItem="0"/>
    <dataField name="Sum of Variance %" fld="8" baseField="0" baseItem="0" numFmtId="10"/>
  </dataField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1" count="1">
              <x v="8"/>
            </reference>
            <reference field="2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1" count="1">
              <x v="8"/>
            </reference>
            <reference field="2" count="1" selected="0">
              <x v="1"/>
            </reference>
          </references>
        </pivotArea>
      </pivotAreas>
    </conditionalFormat>
    <conditionalFormat priority="3">
      <pivotAreas count="6"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2">
              <x v="0"/>
              <x v="7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2"/>
              <x v="3"/>
              <x v="4"/>
              <x v="8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3">
              <x v="1"/>
              <x v="5"/>
              <x v="6"/>
            </reference>
            <reference field="2" count="1" selected="0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1" count="1">
              <x v="8"/>
            </reference>
            <reference field="2" count="1" selected="0">
              <x v="1"/>
            </reference>
          </references>
        </pivotArea>
      </pivotAreas>
    </conditionalFormat>
    <conditionalFormat priority="5">
      <pivotAreas count="6"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2">
              <x v="0"/>
              <x v="7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2"/>
              <x v="3"/>
              <x v="4"/>
              <x v="8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3">
              <x v="1"/>
              <x v="5"/>
              <x v="6"/>
            </reference>
            <reference field="2" count="1" selected="0">
              <x v="2"/>
            </reference>
          </references>
        </pivotArea>
      </pivotAreas>
    </conditionalFormat>
    <conditionalFormat priority="6">
      <pivotAreas count="6"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2">
              <x v="0"/>
              <x v="7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2"/>
              <x v="3"/>
              <x v="4"/>
              <x v="8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3">
              <x v="1"/>
              <x v="5"/>
              <x v="6"/>
            </reference>
            <reference field="2" count="1" selected="0">
              <x v="2"/>
            </reference>
          </references>
        </pivotArea>
      </pivotAreas>
    </conditionalFormat>
  </conditional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9A86-68CE-4280-B351-202F31D51136}">
  <dimension ref="A1:H10"/>
  <sheetViews>
    <sheetView workbookViewId="0">
      <selection activeCell="D6" sqref="A1:H10"/>
    </sheetView>
  </sheetViews>
  <sheetFormatPr defaultRowHeight="14.4" x14ac:dyDescent="0.3"/>
  <cols>
    <col min="1" max="1" width="7.33203125" bestFit="1" customWidth="1"/>
    <col min="2" max="2" width="28.44140625" bestFit="1" customWidth="1"/>
    <col min="3" max="3" width="8.33203125" bestFit="1" customWidth="1"/>
    <col min="4" max="4" width="18.21875" bestFit="1" customWidth="1"/>
    <col min="5" max="5" width="10.33203125" bestFit="1" customWidth="1"/>
    <col min="6" max="6" width="10.88671875" bestFit="1" customWidth="1"/>
    <col min="7" max="7" width="8.6640625" bestFit="1" customWidth="1"/>
    <col min="8" max="8" width="10.6640625" bestFit="1" customWidth="1"/>
  </cols>
  <sheetData>
    <row r="1" spans="1:8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">
      <c r="A2">
        <v>4001</v>
      </c>
      <c r="B2" t="s">
        <v>0</v>
      </c>
      <c r="C2" t="s">
        <v>1</v>
      </c>
      <c r="D2" t="s">
        <v>2</v>
      </c>
      <c r="E2">
        <v>674650</v>
      </c>
      <c r="F2">
        <v>2400000</v>
      </c>
      <c r="G2">
        <v>-1725350</v>
      </c>
      <c r="H2">
        <v>-71.89</v>
      </c>
    </row>
    <row r="3" spans="1:8" x14ac:dyDescent="0.3">
      <c r="A3">
        <v>4002</v>
      </c>
      <c r="B3" t="s">
        <v>3</v>
      </c>
      <c r="C3" t="s">
        <v>1</v>
      </c>
      <c r="D3" t="s">
        <v>4</v>
      </c>
      <c r="E3">
        <v>548613</v>
      </c>
      <c r="F3">
        <v>1440000</v>
      </c>
      <c r="G3">
        <v>-891387</v>
      </c>
      <c r="H3">
        <v>-61.9</v>
      </c>
    </row>
    <row r="4" spans="1:8" x14ac:dyDescent="0.3">
      <c r="A4">
        <v>4003</v>
      </c>
      <c r="B4" t="s">
        <v>5</v>
      </c>
      <c r="C4" t="s">
        <v>1</v>
      </c>
      <c r="D4" t="s">
        <v>6</v>
      </c>
      <c r="E4">
        <v>122279</v>
      </c>
      <c r="F4">
        <v>600000</v>
      </c>
      <c r="G4">
        <v>-477721</v>
      </c>
      <c r="H4">
        <v>-79.62</v>
      </c>
    </row>
    <row r="5" spans="1:8" x14ac:dyDescent="0.3">
      <c r="A5">
        <v>5001</v>
      </c>
      <c r="B5" t="s">
        <v>7</v>
      </c>
      <c r="C5" t="s">
        <v>8</v>
      </c>
      <c r="D5" t="s">
        <v>9</v>
      </c>
      <c r="E5">
        <v>127558</v>
      </c>
      <c r="F5">
        <v>480000</v>
      </c>
      <c r="G5">
        <v>-352442</v>
      </c>
      <c r="H5">
        <v>-73.430000000000007</v>
      </c>
    </row>
    <row r="6" spans="1:8" x14ac:dyDescent="0.3">
      <c r="A6">
        <v>5002</v>
      </c>
      <c r="B6" t="s">
        <v>10</v>
      </c>
      <c r="C6" t="s">
        <v>8</v>
      </c>
      <c r="D6" t="s">
        <v>11</v>
      </c>
      <c r="E6">
        <v>112311</v>
      </c>
      <c r="F6">
        <v>180000</v>
      </c>
      <c r="G6">
        <v>-67689</v>
      </c>
      <c r="H6">
        <v>-37.61</v>
      </c>
    </row>
    <row r="7" spans="1:8" x14ac:dyDescent="0.3">
      <c r="A7">
        <v>6001</v>
      </c>
      <c r="B7" t="s">
        <v>12</v>
      </c>
      <c r="C7" t="s">
        <v>13</v>
      </c>
      <c r="D7" t="s">
        <v>14</v>
      </c>
      <c r="E7">
        <v>129912</v>
      </c>
      <c r="F7">
        <v>360000</v>
      </c>
      <c r="G7">
        <v>-230088</v>
      </c>
      <c r="H7">
        <v>-63.91</v>
      </c>
    </row>
    <row r="8" spans="1:8" x14ac:dyDescent="0.3">
      <c r="A8">
        <v>6002</v>
      </c>
      <c r="B8" t="s">
        <v>15</v>
      </c>
      <c r="C8" t="s">
        <v>13</v>
      </c>
      <c r="D8" t="s">
        <v>16</v>
      </c>
      <c r="E8">
        <v>99984</v>
      </c>
      <c r="F8">
        <v>300000</v>
      </c>
      <c r="G8">
        <v>-200016</v>
      </c>
      <c r="H8">
        <v>-66.67</v>
      </c>
    </row>
    <row r="9" spans="1:8" x14ac:dyDescent="0.3">
      <c r="A9">
        <v>6003</v>
      </c>
      <c r="B9" t="s">
        <v>17</v>
      </c>
      <c r="C9" t="s">
        <v>13</v>
      </c>
      <c r="D9" t="s">
        <v>18</v>
      </c>
      <c r="E9">
        <v>510557</v>
      </c>
      <c r="F9">
        <v>1320000</v>
      </c>
      <c r="G9">
        <v>-809443</v>
      </c>
      <c r="H9">
        <v>-61.32</v>
      </c>
    </row>
    <row r="10" spans="1:8" x14ac:dyDescent="0.3">
      <c r="A10">
        <v>6004</v>
      </c>
      <c r="B10" t="s">
        <v>19</v>
      </c>
      <c r="C10" t="s">
        <v>13</v>
      </c>
      <c r="D10" t="s">
        <v>20</v>
      </c>
      <c r="E10">
        <v>508871</v>
      </c>
      <c r="F10">
        <v>96000</v>
      </c>
      <c r="G10">
        <v>412871</v>
      </c>
      <c r="H10">
        <v>430.07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B788-843F-4B57-A255-24FD6F423BCF}">
  <dimension ref="A1:E14"/>
  <sheetViews>
    <sheetView tabSelected="1" zoomScale="86" zoomScaleNormal="86" workbookViewId="0">
      <selection activeCell="L27" sqref="L27"/>
    </sheetView>
  </sheetViews>
  <sheetFormatPr defaultRowHeight="14.4" x14ac:dyDescent="0.3"/>
  <cols>
    <col min="1" max="1" width="32.6640625" bestFit="1" customWidth="1"/>
    <col min="2" max="2" width="18.109375" bestFit="1" customWidth="1"/>
    <col min="3" max="3" width="18.6640625" bestFit="1" customWidth="1"/>
    <col min="4" max="5" width="17.44140625" bestFit="1" customWidth="1"/>
  </cols>
  <sheetData>
    <row r="1" spans="1:5" x14ac:dyDescent="0.3">
      <c r="A1" s="1" t="s">
        <v>29</v>
      </c>
      <c r="B1" s="1" t="s">
        <v>31</v>
      </c>
      <c r="C1" t="s">
        <v>32</v>
      </c>
      <c r="D1" t="s">
        <v>33</v>
      </c>
      <c r="E1" t="s">
        <v>34</v>
      </c>
    </row>
    <row r="2" spans="1:5" x14ac:dyDescent="0.3">
      <c r="A2" s="2" t="s">
        <v>8</v>
      </c>
      <c r="B2">
        <v>239869</v>
      </c>
      <c r="C2">
        <v>660000</v>
      </c>
      <c r="D2">
        <v>-420131</v>
      </c>
      <c r="E2" s="4">
        <v>-0.63656212121212119</v>
      </c>
    </row>
    <row r="3" spans="1:5" x14ac:dyDescent="0.3">
      <c r="A3" s="3" t="s">
        <v>7</v>
      </c>
      <c r="B3">
        <v>127558</v>
      </c>
      <c r="C3">
        <v>480000</v>
      </c>
      <c r="D3">
        <v>-352442</v>
      </c>
      <c r="E3" s="4">
        <v>-0.73425416666666665</v>
      </c>
    </row>
    <row r="4" spans="1:5" x14ac:dyDescent="0.3">
      <c r="A4" s="3" t="s">
        <v>10</v>
      </c>
      <c r="B4">
        <v>112311</v>
      </c>
      <c r="C4">
        <v>180000</v>
      </c>
      <c r="D4">
        <v>-67689</v>
      </c>
      <c r="E4" s="4">
        <v>-0.37605</v>
      </c>
    </row>
    <row r="5" spans="1:5" x14ac:dyDescent="0.3">
      <c r="A5" s="2" t="s">
        <v>13</v>
      </c>
      <c r="B5">
        <v>1249324</v>
      </c>
      <c r="C5">
        <v>2076000</v>
      </c>
      <c r="D5">
        <v>-826676</v>
      </c>
      <c r="E5" s="4">
        <v>-0.39820616570327555</v>
      </c>
    </row>
    <row r="6" spans="1:5" x14ac:dyDescent="0.3">
      <c r="A6" s="3" t="s">
        <v>12</v>
      </c>
      <c r="B6">
        <v>129912</v>
      </c>
      <c r="C6">
        <v>360000</v>
      </c>
      <c r="D6">
        <v>-230088</v>
      </c>
      <c r="E6" s="4">
        <v>-0.63913333333333333</v>
      </c>
    </row>
    <row r="7" spans="1:5" x14ac:dyDescent="0.3">
      <c r="A7" s="3" t="s">
        <v>17</v>
      </c>
      <c r="B7">
        <v>510557</v>
      </c>
      <c r="C7">
        <v>1320000</v>
      </c>
      <c r="D7">
        <v>-809443</v>
      </c>
      <c r="E7" s="4">
        <v>-0.61321439393939392</v>
      </c>
    </row>
    <row r="8" spans="1:5" x14ac:dyDescent="0.3">
      <c r="A8" s="3" t="s">
        <v>15</v>
      </c>
      <c r="B8">
        <v>99984</v>
      </c>
      <c r="C8">
        <v>300000</v>
      </c>
      <c r="D8">
        <v>-200016</v>
      </c>
      <c r="E8" s="4">
        <v>-0.66671999999999998</v>
      </c>
    </row>
    <row r="9" spans="1:5" x14ac:dyDescent="0.3">
      <c r="A9" s="3" t="s">
        <v>19</v>
      </c>
      <c r="B9">
        <v>508871</v>
      </c>
      <c r="C9">
        <v>96000</v>
      </c>
      <c r="D9">
        <v>412871</v>
      </c>
      <c r="E9" s="4">
        <v>4.3007395833333337</v>
      </c>
    </row>
    <row r="10" spans="1:5" x14ac:dyDescent="0.3">
      <c r="A10" s="2" t="s">
        <v>1</v>
      </c>
      <c r="B10">
        <v>1345542</v>
      </c>
      <c r="C10">
        <v>4440000</v>
      </c>
      <c r="D10">
        <v>-3094458</v>
      </c>
      <c r="E10" s="4">
        <v>-0.69694999999999996</v>
      </c>
    </row>
    <row r="11" spans="1:5" x14ac:dyDescent="0.3">
      <c r="A11" s="3" t="s">
        <v>5</v>
      </c>
      <c r="B11">
        <v>122279</v>
      </c>
      <c r="C11">
        <v>600000</v>
      </c>
      <c r="D11">
        <v>-477721</v>
      </c>
      <c r="E11" s="4">
        <v>-0.7962016666666667</v>
      </c>
    </row>
    <row r="12" spans="1:5" x14ac:dyDescent="0.3">
      <c r="A12" s="3" t="s">
        <v>0</v>
      </c>
      <c r="B12">
        <v>674650</v>
      </c>
      <c r="C12">
        <v>2400000</v>
      </c>
      <c r="D12">
        <v>-1725350</v>
      </c>
      <c r="E12" s="4">
        <v>-0.71889583333333329</v>
      </c>
    </row>
    <row r="13" spans="1:5" x14ac:dyDescent="0.3">
      <c r="A13" s="3" t="s">
        <v>3</v>
      </c>
      <c r="B13">
        <v>548613</v>
      </c>
      <c r="C13">
        <v>1440000</v>
      </c>
      <c r="D13">
        <v>-891387</v>
      </c>
      <c r="E13" s="4">
        <v>-0.61901874999999995</v>
      </c>
    </row>
    <row r="14" spans="1:5" x14ac:dyDescent="0.3">
      <c r="A14" s="2" t="s">
        <v>30</v>
      </c>
      <c r="B14">
        <v>2834735</v>
      </c>
      <c r="C14">
        <v>7176000</v>
      </c>
      <c r="D14">
        <v>-4341265</v>
      </c>
      <c r="E14" s="4">
        <v>-0.60497003901895208</v>
      </c>
    </row>
  </sheetData>
  <conditionalFormatting pivot="1" sqref="D2 D3:D4 D5 D6:D9 D10 D11:D13">
    <cfRule type="cellIs" dxfId="5" priority="6" operator="greaterThan">
      <formula>0</formula>
    </cfRule>
  </conditionalFormatting>
  <conditionalFormatting pivot="1" sqref="D2 D3:D4 D5 D6:D9 D10 D11:D13">
    <cfRule type="cellIs" dxfId="4" priority="5" operator="lessThan">
      <formula>0</formula>
    </cfRule>
  </conditionalFormatting>
  <conditionalFormatting pivot="1" sqref="D9">
    <cfRule type="cellIs" dxfId="3" priority="4" operator="greaterThan">
      <formula>0</formula>
    </cfRule>
  </conditionalFormatting>
  <conditionalFormatting pivot="1" sqref="D2 D3:D4 D5 D6:D9 D10 D11:D13">
    <cfRule type="cellIs" dxfId="2" priority="3" operator="greaterThan">
      <formula>0</formula>
    </cfRule>
  </conditionalFormatting>
  <conditionalFormatting pivot="1" sqref="E9">
    <cfRule type="cellIs" dxfId="1" priority="2" operator="greaterThan">
      <formula>399</formula>
    </cfRule>
  </conditionalFormatting>
  <conditionalFormatting pivot="1" sqref="E9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CC89-988F-4285-B1C6-79DEC1CF92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CBD21-4F86-43AA-9EF6-579447BA3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NAVEEN_SQLEXPRESS</vt:lpstr>
      <vt:lpstr>NAVEEN_SQLEXPRESS_ Financedb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</dc:creator>
  <cp:lastModifiedBy>NAVEEN S</cp:lastModifiedBy>
  <cp:lastPrinted>2026-10-02T14:35:00Z</cp:lastPrinted>
  <dcterms:created xsi:type="dcterms:W3CDTF">2026-10-01T06:25:35Z</dcterms:created>
  <dcterms:modified xsi:type="dcterms:W3CDTF">2026-10-02T14:35:40Z</dcterms:modified>
</cp:coreProperties>
</file>